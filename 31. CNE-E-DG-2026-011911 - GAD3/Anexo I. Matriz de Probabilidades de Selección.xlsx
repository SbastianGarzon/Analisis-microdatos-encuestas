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XT\TU\"/>
    </mc:Choice>
  </mc:AlternateContent>
  <xr:revisionPtr revIDLastSave="0" documentId="8_{DD0C797A-61F3-4EE3-B8ED-2969476E017D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Anexo I - Probabilidade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K34" i="1"/>
  <c r="J34" i="1"/>
  <c r="I34" i="1"/>
  <c r="H34" i="1"/>
  <c r="G34" i="1"/>
  <c r="F34" i="1"/>
  <c r="E34" i="1"/>
  <c r="D34" i="1"/>
  <c r="S34" i="1" s="1"/>
  <c r="C34" i="1"/>
  <c r="R34" i="1" s="1"/>
  <c r="S33" i="1"/>
  <c r="R33" i="1"/>
  <c r="Q33" i="1"/>
  <c r="P33" i="1"/>
  <c r="O33" i="1"/>
  <c r="N33" i="1"/>
  <c r="M33" i="1"/>
  <c r="L33" i="1"/>
  <c r="S32" i="1"/>
  <c r="R32" i="1"/>
  <c r="Q32" i="1"/>
  <c r="P32" i="1"/>
  <c r="O32" i="1"/>
  <c r="N32" i="1"/>
  <c r="M32" i="1"/>
  <c r="L32" i="1"/>
  <c r="S31" i="1"/>
  <c r="R31" i="1"/>
  <c r="Q31" i="1"/>
  <c r="P31" i="1"/>
  <c r="O31" i="1"/>
  <c r="N31" i="1"/>
  <c r="M31" i="1"/>
  <c r="L31" i="1"/>
  <c r="S30" i="1"/>
  <c r="R30" i="1"/>
  <c r="Q30" i="1"/>
  <c r="P30" i="1"/>
  <c r="O30" i="1"/>
  <c r="N30" i="1"/>
  <c r="M30" i="1"/>
  <c r="L30" i="1"/>
  <c r="S29" i="1"/>
  <c r="R29" i="1"/>
  <c r="Q29" i="1"/>
  <c r="P29" i="1"/>
  <c r="O29" i="1"/>
  <c r="N29" i="1"/>
  <c r="M29" i="1"/>
  <c r="L29" i="1"/>
  <c r="S28" i="1"/>
  <c r="R28" i="1"/>
  <c r="Q28" i="1"/>
  <c r="P28" i="1"/>
  <c r="O28" i="1"/>
  <c r="N28" i="1"/>
  <c r="M28" i="1"/>
  <c r="L28" i="1"/>
  <c r="S27" i="1"/>
  <c r="R27" i="1"/>
  <c r="Q27" i="1"/>
  <c r="P27" i="1"/>
  <c r="O27" i="1"/>
  <c r="N27" i="1"/>
  <c r="M27" i="1"/>
  <c r="L27" i="1"/>
  <c r="S26" i="1"/>
  <c r="R26" i="1"/>
  <c r="Q26" i="1"/>
  <c r="P26" i="1"/>
  <c r="O26" i="1"/>
  <c r="N26" i="1"/>
  <c r="M26" i="1"/>
  <c r="L26" i="1"/>
  <c r="S25" i="1"/>
  <c r="R25" i="1"/>
  <c r="Q25" i="1"/>
  <c r="P25" i="1"/>
  <c r="O25" i="1"/>
  <c r="N25" i="1"/>
  <c r="M25" i="1"/>
  <c r="L25" i="1"/>
  <c r="S24" i="1"/>
  <c r="R24" i="1"/>
  <c r="Q24" i="1"/>
  <c r="P24" i="1"/>
  <c r="O24" i="1"/>
  <c r="N24" i="1"/>
  <c r="M24" i="1"/>
  <c r="L24" i="1"/>
  <c r="S23" i="1"/>
  <c r="R23" i="1"/>
  <c r="Q23" i="1"/>
  <c r="P23" i="1"/>
  <c r="O23" i="1"/>
  <c r="N23" i="1"/>
  <c r="M23" i="1"/>
  <c r="L23" i="1"/>
  <c r="S22" i="1"/>
  <c r="R22" i="1"/>
  <c r="Q22" i="1"/>
  <c r="P22" i="1"/>
  <c r="O22" i="1"/>
  <c r="N22" i="1"/>
  <c r="M22" i="1"/>
  <c r="L22" i="1"/>
  <c r="S21" i="1"/>
  <c r="R21" i="1"/>
  <c r="Q21" i="1"/>
  <c r="P21" i="1"/>
  <c r="O21" i="1"/>
  <c r="N21" i="1"/>
  <c r="M21" i="1"/>
  <c r="L21" i="1"/>
  <c r="S20" i="1"/>
  <c r="R20" i="1"/>
  <c r="Q20" i="1"/>
  <c r="P20" i="1"/>
  <c r="O20" i="1"/>
  <c r="N20" i="1"/>
  <c r="M20" i="1"/>
  <c r="L20" i="1"/>
  <c r="S19" i="1"/>
  <c r="R19" i="1"/>
  <c r="Q19" i="1"/>
  <c r="P19" i="1"/>
  <c r="O19" i="1"/>
  <c r="N19" i="1"/>
  <c r="M19" i="1"/>
  <c r="L19" i="1"/>
  <c r="S18" i="1"/>
  <c r="R18" i="1"/>
  <c r="Q18" i="1"/>
  <c r="P18" i="1"/>
  <c r="O18" i="1"/>
  <c r="N18" i="1"/>
  <c r="M18" i="1"/>
  <c r="L18" i="1"/>
  <c r="S17" i="1"/>
  <c r="R17" i="1"/>
  <c r="Q17" i="1"/>
  <c r="P17" i="1"/>
  <c r="O17" i="1"/>
  <c r="N17" i="1"/>
  <c r="M17" i="1"/>
  <c r="L17" i="1"/>
  <c r="S16" i="1"/>
  <c r="R16" i="1"/>
  <c r="Q16" i="1"/>
  <c r="P16" i="1"/>
  <c r="O16" i="1"/>
  <c r="N16" i="1"/>
  <c r="M16" i="1"/>
  <c r="L16" i="1"/>
  <c r="S15" i="1"/>
  <c r="R15" i="1"/>
  <c r="Q15" i="1"/>
  <c r="P15" i="1"/>
  <c r="O15" i="1"/>
  <c r="N15" i="1"/>
  <c r="M15" i="1"/>
  <c r="L15" i="1"/>
  <c r="S14" i="1"/>
  <c r="R14" i="1"/>
  <c r="Q14" i="1"/>
  <c r="P14" i="1"/>
  <c r="O14" i="1"/>
  <c r="N14" i="1"/>
  <c r="M14" i="1"/>
  <c r="L14" i="1"/>
  <c r="S13" i="1"/>
  <c r="R13" i="1"/>
  <c r="Q13" i="1"/>
  <c r="P13" i="1"/>
  <c r="O13" i="1"/>
  <c r="N13" i="1"/>
  <c r="M13" i="1"/>
  <c r="L13" i="1"/>
  <c r="S12" i="1"/>
  <c r="R12" i="1"/>
  <c r="Q12" i="1"/>
  <c r="P12" i="1"/>
  <c r="O12" i="1"/>
  <c r="N12" i="1"/>
  <c r="M12" i="1"/>
  <c r="L12" i="1"/>
  <c r="S11" i="1"/>
  <c r="R11" i="1"/>
  <c r="Q11" i="1"/>
  <c r="P11" i="1"/>
  <c r="O11" i="1"/>
  <c r="N11" i="1"/>
  <c r="M11" i="1"/>
  <c r="L11" i="1"/>
  <c r="S10" i="1"/>
  <c r="R10" i="1"/>
  <c r="Q10" i="1"/>
  <c r="P10" i="1"/>
  <c r="O10" i="1"/>
  <c r="N10" i="1"/>
  <c r="M10" i="1"/>
  <c r="L10" i="1"/>
  <c r="S9" i="1"/>
  <c r="R9" i="1"/>
  <c r="Q9" i="1"/>
  <c r="P9" i="1"/>
  <c r="O9" i="1"/>
  <c r="N9" i="1"/>
  <c r="M9" i="1"/>
  <c r="L9" i="1"/>
  <c r="S8" i="1"/>
  <c r="R8" i="1"/>
  <c r="Q8" i="1"/>
  <c r="P8" i="1"/>
  <c r="O8" i="1"/>
  <c r="N8" i="1"/>
  <c r="M8" i="1"/>
  <c r="L8" i="1"/>
  <c r="S7" i="1"/>
  <c r="R7" i="1"/>
  <c r="Q7" i="1"/>
  <c r="P7" i="1"/>
  <c r="O7" i="1"/>
  <c r="N7" i="1"/>
  <c r="M7" i="1"/>
  <c r="L7" i="1"/>
  <c r="S6" i="1"/>
  <c r="R6" i="1"/>
  <c r="Q6" i="1"/>
  <c r="P6" i="1"/>
  <c r="O6" i="1"/>
  <c r="N6" i="1"/>
  <c r="M6" i="1"/>
  <c r="L6" i="1"/>
  <c r="S5" i="1"/>
  <c r="R5" i="1"/>
  <c r="Q5" i="1"/>
  <c r="P5" i="1"/>
  <c r="O5" i="1"/>
  <c r="N5" i="1"/>
  <c r="M5" i="1"/>
  <c r="L5" i="1"/>
  <c r="S4" i="1"/>
  <c r="R4" i="1"/>
  <c r="Q4" i="1"/>
  <c r="P4" i="1"/>
  <c r="O4" i="1"/>
  <c r="N4" i="1"/>
  <c r="M4" i="1"/>
  <c r="L4" i="1"/>
  <c r="S3" i="1"/>
  <c r="R3" i="1"/>
  <c r="Q3" i="1"/>
  <c r="P3" i="1"/>
  <c r="O3" i="1"/>
  <c r="N3" i="1"/>
  <c r="M3" i="1"/>
  <c r="L3" i="1"/>
  <c r="S2" i="1"/>
  <c r="R2" i="1"/>
  <c r="Q2" i="1"/>
  <c r="P2" i="1"/>
  <c r="O2" i="1"/>
  <c r="N2" i="1"/>
  <c r="M2" i="1"/>
  <c r="L2" i="1"/>
  <c r="O34" i="1" l="1"/>
  <c r="P34" i="1"/>
  <c r="Q34" i="1"/>
  <c r="N34" i="1"/>
</calcChain>
</file>

<file path=xl/sharedStrings.xml><?xml version="1.0" encoding="utf-8"?>
<sst xmlns="http://schemas.openxmlformats.org/spreadsheetml/2006/main" count="75" uniqueCount="72">
  <si>
    <t>Zona (Departamento)</t>
  </si>
  <si>
    <t>Base_congelada_Nh (COMPLETAR)</t>
  </si>
  <si>
    <t>Liberados_totales</t>
  </si>
  <si>
    <t>Liberados_elegibles</t>
  </si>
  <si>
    <t>Conseguidas (entrevistas)</t>
  </si>
  <si>
    <t>No contesta</t>
  </si>
  <si>
    <t>Contestador</t>
  </si>
  <si>
    <t>No existe</t>
  </si>
  <si>
    <t>Rechaza</t>
  </si>
  <si>
    <t>Cortada</t>
  </si>
  <si>
    <t>No cumple cuota</t>
  </si>
  <si>
    <t>Prob_seleccion_en_marco</t>
  </si>
  <si>
    <t>Prob_inclusion_entrevista</t>
  </si>
  <si>
    <t>Tasa_respuesta</t>
  </si>
  <si>
    <t>Tasa_rechazo</t>
  </si>
  <si>
    <t>Tasa_no_contacto</t>
  </si>
  <si>
    <t>Tasa_abandono</t>
  </si>
  <si>
    <t>Tasa_inhabilitados</t>
  </si>
  <si>
    <t>% exito (Conseguidas/Liberados_elegibles)</t>
  </si>
  <si>
    <t>Min./llamada ok</t>
  </si>
  <si>
    <t>Total h</t>
  </si>
  <si>
    <t>Conseguidas/h</t>
  </si>
  <si>
    <t>Amazonas</t>
  </si>
  <si>
    <t>Antioquia</t>
  </si>
  <si>
    <t>Arauca</t>
  </si>
  <si>
    <t>Atlántico</t>
  </si>
  <si>
    <t>Bogotá</t>
  </si>
  <si>
    <t>Bolívar</t>
  </si>
  <si>
    <t>Boyaca</t>
  </si>
  <si>
    <t>Caldas</t>
  </si>
  <si>
    <t>Caqueta</t>
  </si>
  <si>
    <t>Casanare</t>
  </si>
  <si>
    <t>Cauca</t>
  </si>
  <si>
    <t>Cesar</t>
  </si>
  <si>
    <t>Chocó</t>
  </si>
  <si>
    <t>Córdoba</t>
  </si>
  <si>
    <t>Cundinamarca</t>
  </si>
  <si>
    <t>Guainia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</si>
  <si>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</si>
  <si>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</si>
  <si>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</si>
  <si>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</si>
  <si>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</si>
  <si>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</si>
  <si>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</si>
  <si>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</si>
  <si>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</si>
  <si>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</si>
  <si>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</si>
  <si>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</si>
  <si>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</si>
  <si>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</si>
  <si>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Vaupes</t>
  </si>
  <si>
    <t>Vichada</t>
  </si>
  <si>
    <t>TOTAL</t>
  </si>
  <si>
    <t>ANEXO I. MATRIZ DE PROBABILIDADES DE SELECCION (MARZO 2026)</t>
  </si>
  <si>
    <t/>
  </si>
  <si>
    <t>Este anexo reconfigura la matriz de seleccion + no respuesta a nivel departamental (Bloque 1 del dossier).</t>
  </si>
  <si>
    <t>Definiciones:</t>
  </si>
  <si>
    <t>- Liberados_totales: telefonos unicos gestionados en el estudio (incluye 'No cumple cuota' como inelegible).</t>
  </si>
  <si>
    <t>- Liberados_elegibles: telefonos unicos gestionados excluyendo inelegibles ('No cumple cuota').</t>
  </si>
  <si>
    <t>- Conseguidas: entrevistas completas (validas).</t>
  </si>
  <si>
    <t>Tasas derivadas (por defecto sobre Liberados_elegibles; inelegibles se reportan aparte):</t>
  </si>
  <si>
    <t>- Tasa_respuesta = Conseguidas / Liberados_elegibles</t>
  </si>
  <si>
    <t>- Tasa_rechazo = Rechaza / Liberados_elegibles</t>
  </si>
  <si>
    <t>- Tasa_no_contacto = (No contesta + Contestador + No existe) / Liberados_elegibles</t>
  </si>
  <si>
    <t>- Tasa_abandono = Cortada / Liberados_elegibles</t>
  </si>
  <si>
    <t>- Tasa_inelegibles = No cumple cuota / Liberados_totales</t>
  </si>
  <si>
    <t>Probabilidades (requieren completar Base_congelada_Nh):</t>
  </si>
  <si>
    <t>- Prob_seleccion_en_marco = Liberados_totales / Base_congelada_Nh</t>
  </si>
  <si>
    <t>- Prob_inclusion_entrevista = Conseguidas / Base_congelada_Nh</t>
  </si>
  <si>
    <t>- Base_congelada_Nh: tamaño del marco muestral congelado (snapshot previo al inicio de campo) por departamento: 163.543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</si>
</sst>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babilidades" displayName="TablaProbabilidades" ref="A1:V34" dataDxfId="0">
  <autoFilter ref="A1:V34" xr:uid="{00000000-0009-0000-0100-000001000000}"/>
  <tableColumns count="22">
    <tableColumn id="1" xr3:uid="{00000000-0010-0000-0000-000001000000}" name="Zona (Departamento)" dataDxfId="22"/>
    <tableColumn id="2" xr3:uid="{00000000-0010-0000-0000-000002000000}" name="Base_congelada_Nh (COMPLETAR)" dataDxfId="21"/>
    <tableColumn id="3" xr3:uid="{00000000-0010-0000-0000-000003000000}" name="Liberados_totales" dataDxfId="20"/>
    <tableColumn id="4" xr3:uid="{00000000-0010-0000-0000-000004000000}" name="Liberados_elegibles" dataDxfId="19"/>
    <tableColumn id="5" xr3:uid="{00000000-0010-0000-0000-000005000000}" name="Conseguidas (entrevistas)" dataDxfId="18"/>
    <tableColumn id="6" xr3:uid="{00000000-0010-0000-0000-000006000000}" name="No contesta" dataDxfId="17"/>
    <tableColumn id="7" xr3:uid="{00000000-0010-0000-0000-000007000000}" name="Contestador" dataDxfId="16"/>
    <tableColumn id="8" xr3:uid="{00000000-0010-0000-0000-000008000000}" name="No existe" dataDxfId="15"/>
    <tableColumn id="9" xr3:uid="{00000000-0010-0000-0000-000009000000}" name="Rechaza" dataDxfId="14"/>
    <tableColumn id="10" xr3:uid="{00000000-0010-0000-0000-00000A000000}" name="Cortada" dataDxfId="13"/>
    <tableColumn id="11" xr3:uid="{00000000-0010-0000-0000-00000B000000}" name="No cumple cuota" dataDxfId="12"/>
    <tableColumn id="12" xr3:uid="{00000000-0010-0000-0000-00000C000000}" name="Prob_seleccion_en_marco" dataDxfId="11"/>
    <tableColumn id="13" xr3:uid="{00000000-0010-0000-0000-00000D000000}" name="Prob_inclusion_entrevista" dataDxfId="10"/>
    <tableColumn id="14" xr3:uid="{00000000-0010-0000-0000-00000E000000}" name="Tasa_respuesta" dataDxfId="9"/>
    <tableColumn id="15" xr3:uid="{00000000-0010-0000-0000-00000F000000}" name="Tasa_rechazo" dataDxfId="8"/>
    <tableColumn id="16" xr3:uid="{00000000-0010-0000-0000-000010000000}" name="Tasa_no_contacto" dataDxfId="7"/>
    <tableColumn id="17" xr3:uid="{00000000-0010-0000-0000-000011000000}" name="Tasa_abandono" dataDxfId="6"/>
    <tableColumn id="18" xr3:uid="{00000000-0010-0000-0000-000012000000}" name="Tasa_inhabilitados" dataDxfId="5"/>
    <tableColumn id="19" xr3:uid="{00000000-0010-0000-0000-000013000000}" name="% exito (Conseguidas/Liberados_elegibles)" dataDxfId="4"/>
    <tableColumn id="20" xr3:uid="{00000000-0010-0000-0000-000014000000}" name="Min./llamada ok" dataDxfId="3"/>
    <tableColumn id="21" xr3:uid="{00000000-0010-0000-0000-000015000000}" name="Total h" dataDxfId="2"/>
    <tableColumn id="22" xr3:uid="{00000000-0010-0000-0000-000016000000}" name="Conseguidas/h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D37" sqref="D37"/>
    </sheetView>
  </sheetViews>
  <sheetFormatPr baseColWidth="10" defaultColWidth="8.88671875" defaultRowHeight="14.4" x14ac:dyDescent="0.3"/>
  <cols>
    <col min="1" max="1" width="22" customWidth="1"/>
    <col min="2" max="2" width="24" customWidth="1"/>
    <col min="3" max="3" width="16" customWidth="1"/>
    <col min="4" max="4" width="18" customWidth="1"/>
    <col min="5" max="5" width="20" customWidth="1"/>
    <col min="6" max="10" width="12" customWidth="1"/>
    <col min="11" max="11" width="14" customWidth="1"/>
    <col min="12" max="12" width="20" customWidth="1"/>
    <col min="13" max="13" width="22" customWidth="1"/>
    <col min="14" max="14" width="14" customWidth="1"/>
    <col min="15" max="15" width="12" customWidth="1"/>
    <col min="16" max="16" width="14" customWidth="1"/>
    <col min="17" max="17" width="12" customWidth="1"/>
    <col min="18" max="18" width="16" customWidth="1"/>
    <col min="19" max="19" width="18" customWidth="1"/>
    <col min="20" max="20" width="14" customWidth="1"/>
    <col min="21" max="21" width="10" customWidth="1"/>
    <col min="22" max="22" width="14" customWidth="1"/>
  </cols>
  <sheetData>
    <row r="1" spans="1:2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4" t="s">
        <v>22</v>
      </c>
      <c r="B2" s="4">
        <v>1105</v>
      </c>
      <c r="C2" s="4">
        <v>7</v>
      </c>
      <c r="D2" s="4">
        <v>7</v>
      </c>
      <c r="E2" s="4">
        <v>2</v>
      </c>
      <c r="F2" s="4">
        <v>2</v>
      </c>
      <c r="G2" s="4">
        <v>2</v>
      </c>
      <c r="H2" s="4">
        <v>1</v>
      </c>
      <c r="I2" s="4">
        <v>0</v>
      </c>
      <c r="J2" s="4">
        <v>0</v>
      </c>
      <c r="K2" s="4">
        <v>0</v>
      </c>
      <c r="L2" s="5">
        <f t="shared" ref="L2:L33" si="0">IF($B2&gt;0,$C2/$B2,"")</f>
        <v>6.3348416289592761E-3</v>
      </c>
      <c r="M2" s="5">
        <f t="shared" ref="M2:M33" si="1">IF($B2&gt;0,$E2/$B2,"")</f>
        <v>1.8099547511312218E-3</v>
      </c>
      <c r="N2" s="5">
        <f t="shared" ref="N2:N34" si="2">IF($D2&gt;0,$E2/$D2,"")</f>
        <v>0.2857142857142857</v>
      </c>
      <c r="O2" s="5">
        <f t="shared" ref="O2:O34" si="3">IF($D2&gt;0,$I2/$D2,"")</f>
        <v>0</v>
      </c>
      <c r="P2" s="5">
        <f t="shared" ref="P2:P34" si="4">IF($D2&gt;0,($F2+$G2+$H2)/$D2,"")</f>
        <v>0.7142857142857143</v>
      </c>
      <c r="Q2" s="5">
        <f t="shared" ref="Q2:Q34" si="5">IF($D2&gt;0,$J2/$D2,"")</f>
        <v>0</v>
      </c>
      <c r="R2" s="5">
        <f t="shared" ref="R2:R34" si="6">IF($C2&gt;0,$K2/$C2,"")</f>
        <v>0</v>
      </c>
      <c r="S2" s="5">
        <f t="shared" ref="S2:S34" si="7">IF($D2&gt;0,$E2/$D2,"")</f>
        <v>0.2857142857142857</v>
      </c>
      <c r="T2" s="6">
        <v>6.9916999999999998</v>
      </c>
      <c r="U2" s="6">
        <v>0.25640000000000002</v>
      </c>
      <c r="V2" s="6">
        <v>7.8006000000000002</v>
      </c>
    </row>
    <row r="3" spans="1:22" x14ac:dyDescent="0.3">
      <c r="A3" s="4" t="s">
        <v>23</v>
      </c>
      <c r="B3" s="4">
        <v>24985</v>
      </c>
      <c r="C3" s="4">
        <v>4672</v>
      </c>
      <c r="D3" s="4">
        <v>4654</v>
      </c>
      <c r="E3" s="4">
        <v>160</v>
      </c>
      <c r="F3" s="4">
        <v>1135</v>
      </c>
      <c r="G3" s="4">
        <v>2385</v>
      </c>
      <c r="H3" s="4">
        <v>415</v>
      </c>
      <c r="I3" s="4">
        <v>394</v>
      </c>
      <c r="J3" s="4">
        <v>165</v>
      </c>
      <c r="K3" s="4">
        <v>18</v>
      </c>
      <c r="L3" s="5">
        <f t="shared" si="0"/>
        <v>0.1869921953171903</v>
      </c>
      <c r="M3" s="5">
        <f t="shared" si="1"/>
        <v>6.4038423053832299E-3</v>
      </c>
      <c r="N3" s="5">
        <f t="shared" si="2"/>
        <v>3.4379028792436615E-2</v>
      </c>
      <c r="O3" s="5">
        <f t="shared" si="3"/>
        <v>8.4658358401375158E-2</v>
      </c>
      <c r="P3" s="5">
        <f t="shared" si="4"/>
        <v>0.84550923936398792</v>
      </c>
      <c r="Q3" s="5">
        <f t="shared" si="5"/>
        <v>3.5453373442200259E-2</v>
      </c>
      <c r="R3" s="5">
        <f t="shared" si="6"/>
        <v>3.852739726027397E-3</v>
      </c>
      <c r="S3" s="5">
        <f t="shared" si="7"/>
        <v>3.4379028792436615E-2</v>
      </c>
      <c r="T3" s="6">
        <v>7.6002056299999996</v>
      </c>
      <c r="U3" s="6">
        <v>94.843299999999999</v>
      </c>
      <c r="V3" s="6">
        <v>1.6870000000000001</v>
      </c>
    </row>
    <row r="4" spans="1:22" x14ac:dyDescent="0.3">
      <c r="A4" s="4" t="s">
        <v>24</v>
      </c>
      <c r="B4" s="4">
        <v>570</v>
      </c>
      <c r="C4" s="4">
        <v>194</v>
      </c>
      <c r="D4" s="4">
        <v>194</v>
      </c>
      <c r="E4" s="4">
        <v>7</v>
      </c>
      <c r="F4" s="4">
        <v>44</v>
      </c>
      <c r="G4" s="4">
        <v>102</v>
      </c>
      <c r="H4" s="4">
        <v>24</v>
      </c>
      <c r="I4" s="4">
        <v>15</v>
      </c>
      <c r="J4" s="4">
        <v>2</v>
      </c>
      <c r="K4" s="4">
        <v>0</v>
      </c>
      <c r="L4" s="5">
        <f t="shared" si="0"/>
        <v>0.34035087719298246</v>
      </c>
      <c r="M4" s="5">
        <f t="shared" si="1"/>
        <v>1.2280701754385965E-2</v>
      </c>
      <c r="N4" s="5">
        <f t="shared" si="2"/>
        <v>3.608247422680412E-2</v>
      </c>
      <c r="O4" s="5">
        <f t="shared" si="3"/>
        <v>7.7319587628865982E-2</v>
      </c>
      <c r="P4" s="5">
        <f t="shared" si="4"/>
        <v>0.87628865979381443</v>
      </c>
      <c r="Q4" s="5">
        <f t="shared" si="5"/>
        <v>1.0309278350515464E-2</v>
      </c>
      <c r="R4" s="5">
        <f t="shared" si="6"/>
        <v>0</v>
      </c>
      <c r="S4" s="5">
        <f t="shared" si="7"/>
        <v>3.608247422680412E-2</v>
      </c>
      <c r="T4" s="6">
        <v>8.1261857099999997</v>
      </c>
      <c r="U4" s="6">
        <v>3.5255999999999998</v>
      </c>
      <c r="V4" s="6">
        <v>1.9855</v>
      </c>
    </row>
    <row r="5" spans="1:22" x14ac:dyDescent="0.3">
      <c r="A5" s="4" t="s">
        <v>25</v>
      </c>
      <c r="B5" s="4">
        <v>19831</v>
      </c>
      <c r="C5" s="4">
        <v>2098</v>
      </c>
      <c r="D5" s="4">
        <v>2092</v>
      </c>
      <c r="E5" s="4">
        <v>64</v>
      </c>
      <c r="F5" s="4">
        <v>483</v>
      </c>
      <c r="G5" s="4">
        <v>1137</v>
      </c>
      <c r="H5" s="4">
        <v>185</v>
      </c>
      <c r="I5" s="4">
        <v>159</v>
      </c>
      <c r="J5" s="4">
        <v>64</v>
      </c>
      <c r="K5" s="4">
        <v>6</v>
      </c>
      <c r="L5" s="5">
        <f t="shared" si="0"/>
        <v>0.10579395895315415</v>
      </c>
      <c r="M5" s="5">
        <f t="shared" si="1"/>
        <v>3.2272704351772479E-3</v>
      </c>
      <c r="N5" s="5">
        <f t="shared" si="2"/>
        <v>3.0592734225621414E-2</v>
      </c>
      <c r="O5" s="5">
        <f t="shared" si="3"/>
        <v>7.6003824091778208E-2</v>
      </c>
      <c r="P5" s="5">
        <f t="shared" si="4"/>
        <v>0.86281070745697896</v>
      </c>
      <c r="Q5" s="5">
        <f t="shared" si="5"/>
        <v>3.0592734225621414E-2</v>
      </c>
      <c r="R5" s="5">
        <f t="shared" si="6"/>
        <v>2.859866539561487E-3</v>
      </c>
      <c r="S5" s="5">
        <f t="shared" si="7"/>
        <v>3.0592734225621414E-2</v>
      </c>
      <c r="T5" s="6">
        <v>6.9669296899999997</v>
      </c>
      <c r="U5" s="6">
        <v>43.868600000000001</v>
      </c>
      <c r="V5" s="6">
        <v>1.4589000000000001</v>
      </c>
    </row>
    <row r="6" spans="1:22" x14ac:dyDescent="0.3">
      <c r="A6" s="4" t="s">
        <v>26</v>
      </c>
      <c r="B6" s="4">
        <v>25110</v>
      </c>
      <c r="C6" s="4">
        <v>7142</v>
      </c>
      <c r="D6" s="4">
        <v>7110</v>
      </c>
      <c r="E6" s="4">
        <v>186</v>
      </c>
      <c r="F6" s="4">
        <v>1730</v>
      </c>
      <c r="G6" s="4">
        <v>3626</v>
      </c>
      <c r="H6" s="4">
        <v>671</v>
      </c>
      <c r="I6" s="4">
        <v>632</v>
      </c>
      <c r="J6" s="4">
        <v>265</v>
      </c>
      <c r="K6" s="4">
        <v>32</v>
      </c>
      <c r="L6" s="5">
        <f t="shared" si="0"/>
        <v>0.2844285145360414</v>
      </c>
      <c r="M6" s="5">
        <f t="shared" si="1"/>
        <v>7.4074074074074077E-3</v>
      </c>
      <c r="N6" s="5">
        <f t="shared" si="2"/>
        <v>2.6160337552742614E-2</v>
      </c>
      <c r="O6" s="5">
        <f t="shared" si="3"/>
        <v>8.8888888888888892E-2</v>
      </c>
      <c r="P6" s="5">
        <f t="shared" si="4"/>
        <v>0.84767932489451481</v>
      </c>
      <c r="Q6" s="5">
        <f t="shared" si="5"/>
        <v>3.7271448663853728E-2</v>
      </c>
      <c r="R6" s="5">
        <f t="shared" si="6"/>
        <v>4.4805376645197428E-3</v>
      </c>
      <c r="S6" s="5">
        <f t="shared" si="7"/>
        <v>2.6160337552742614E-2</v>
      </c>
      <c r="T6" s="6">
        <v>6.9836881699999998</v>
      </c>
      <c r="U6" s="6">
        <v>137.27000000000001</v>
      </c>
      <c r="V6" s="6">
        <v>1.355</v>
      </c>
    </row>
    <row r="7" spans="1:22" x14ac:dyDescent="0.3">
      <c r="A7" s="4" t="s">
        <v>27</v>
      </c>
      <c r="B7" s="4">
        <v>3404</v>
      </c>
      <c r="C7" s="4">
        <v>1927</v>
      </c>
      <c r="D7" s="4">
        <v>1917</v>
      </c>
      <c r="E7" s="4">
        <v>53</v>
      </c>
      <c r="F7" s="4">
        <v>441</v>
      </c>
      <c r="G7" s="4">
        <v>1081</v>
      </c>
      <c r="H7" s="4">
        <v>148</v>
      </c>
      <c r="I7" s="4">
        <v>139</v>
      </c>
      <c r="J7" s="4">
        <v>55</v>
      </c>
      <c r="K7" s="4">
        <v>10</v>
      </c>
      <c r="L7" s="5">
        <f t="shared" si="0"/>
        <v>0.56609870740305523</v>
      </c>
      <c r="M7" s="5">
        <f t="shared" si="1"/>
        <v>1.5569917743830788E-2</v>
      </c>
      <c r="N7" s="5">
        <f t="shared" si="2"/>
        <v>2.7647365675534691E-2</v>
      </c>
      <c r="O7" s="5">
        <f t="shared" si="3"/>
        <v>7.2509128847157017E-2</v>
      </c>
      <c r="P7" s="5">
        <f t="shared" si="4"/>
        <v>0.87115284298382889</v>
      </c>
      <c r="Q7" s="5">
        <f t="shared" si="5"/>
        <v>2.8690662493479395E-2</v>
      </c>
      <c r="R7" s="5">
        <f t="shared" si="6"/>
        <v>5.1894135962636222E-3</v>
      </c>
      <c r="S7" s="5">
        <f t="shared" si="7"/>
        <v>2.7647365675534691E-2</v>
      </c>
      <c r="T7" s="6">
        <v>25.649684910000001</v>
      </c>
      <c r="U7" s="6">
        <v>54.360599999999998</v>
      </c>
      <c r="V7" s="6">
        <v>0.97499999999999998</v>
      </c>
    </row>
    <row r="8" spans="1:22" x14ac:dyDescent="0.3">
      <c r="A8" s="4" t="s">
        <v>28</v>
      </c>
      <c r="B8" s="4">
        <v>2042</v>
      </c>
      <c r="C8" s="4">
        <v>1005</v>
      </c>
      <c r="D8" s="4">
        <v>1000</v>
      </c>
      <c r="E8" s="4">
        <v>32</v>
      </c>
      <c r="F8" s="4">
        <v>294</v>
      </c>
      <c r="G8" s="4">
        <v>473</v>
      </c>
      <c r="H8" s="4">
        <v>71</v>
      </c>
      <c r="I8" s="4">
        <v>109</v>
      </c>
      <c r="J8" s="4">
        <v>21</v>
      </c>
      <c r="K8" s="4">
        <v>5</v>
      </c>
      <c r="L8" s="5">
        <f t="shared" si="0"/>
        <v>0.49216454456415282</v>
      </c>
      <c r="M8" s="5">
        <f t="shared" si="1"/>
        <v>1.5670910871694418E-2</v>
      </c>
      <c r="N8" s="5">
        <f t="shared" si="2"/>
        <v>3.2000000000000001E-2</v>
      </c>
      <c r="O8" s="5">
        <f t="shared" si="3"/>
        <v>0.109</v>
      </c>
      <c r="P8" s="5">
        <f t="shared" si="4"/>
        <v>0.83799999999999997</v>
      </c>
      <c r="Q8" s="5">
        <f t="shared" si="5"/>
        <v>2.1000000000000001E-2</v>
      </c>
      <c r="R8" s="5">
        <f t="shared" si="6"/>
        <v>4.9751243781094526E-3</v>
      </c>
      <c r="S8" s="5">
        <f t="shared" si="7"/>
        <v>3.2000000000000001E-2</v>
      </c>
      <c r="T8" s="6">
        <v>7.0208406300000004</v>
      </c>
      <c r="U8" s="6">
        <v>35.025599999999997</v>
      </c>
      <c r="V8" s="6">
        <v>0.91359999999999997</v>
      </c>
    </row>
    <row r="9" spans="1:22" x14ac:dyDescent="0.3">
      <c r="A9" s="4" t="s">
        <v>29</v>
      </c>
      <c r="B9" s="4">
        <v>2040</v>
      </c>
      <c r="C9" s="4">
        <v>630</v>
      </c>
      <c r="D9" s="4">
        <v>630</v>
      </c>
      <c r="E9" s="4">
        <v>25</v>
      </c>
      <c r="F9" s="4">
        <v>166</v>
      </c>
      <c r="G9" s="4">
        <v>326</v>
      </c>
      <c r="H9" s="4">
        <v>40</v>
      </c>
      <c r="I9" s="4">
        <v>59</v>
      </c>
      <c r="J9" s="4">
        <v>14</v>
      </c>
      <c r="K9" s="4">
        <v>0</v>
      </c>
      <c r="L9" s="5">
        <f t="shared" si="0"/>
        <v>0.30882352941176472</v>
      </c>
      <c r="M9" s="5">
        <f t="shared" si="1"/>
        <v>1.2254901960784314E-2</v>
      </c>
      <c r="N9" s="5">
        <f t="shared" si="2"/>
        <v>3.968253968253968E-2</v>
      </c>
      <c r="O9" s="5">
        <f t="shared" si="3"/>
        <v>9.3650793650793651E-2</v>
      </c>
      <c r="P9" s="5">
        <f t="shared" si="4"/>
        <v>0.84444444444444444</v>
      </c>
      <c r="Q9" s="5">
        <f t="shared" si="5"/>
        <v>2.2222222222222223E-2</v>
      </c>
      <c r="R9" s="5">
        <f t="shared" si="6"/>
        <v>0</v>
      </c>
      <c r="S9" s="5">
        <f t="shared" si="7"/>
        <v>3.968253968253968E-2</v>
      </c>
      <c r="T9" s="6">
        <v>6.8379839999999996</v>
      </c>
      <c r="U9" s="6">
        <v>15.0603</v>
      </c>
      <c r="V9" s="6">
        <v>1.66</v>
      </c>
    </row>
    <row r="10" spans="1:22" x14ac:dyDescent="0.3">
      <c r="A10" s="4" t="s">
        <v>30</v>
      </c>
      <c r="B10" s="4">
        <v>827</v>
      </c>
      <c r="C10" s="4">
        <v>295</v>
      </c>
      <c r="D10" s="4">
        <v>292</v>
      </c>
      <c r="E10" s="4">
        <v>10</v>
      </c>
      <c r="F10" s="4">
        <v>64</v>
      </c>
      <c r="G10" s="4">
        <v>160</v>
      </c>
      <c r="H10" s="4">
        <v>23</v>
      </c>
      <c r="I10" s="4">
        <v>26</v>
      </c>
      <c r="J10" s="4">
        <v>9</v>
      </c>
      <c r="K10" s="4">
        <v>3</v>
      </c>
      <c r="L10" s="5">
        <f t="shared" si="0"/>
        <v>0.35671100362756952</v>
      </c>
      <c r="M10" s="5">
        <f t="shared" si="1"/>
        <v>1.2091898428053204E-2</v>
      </c>
      <c r="N10" s="5">
        <f t="shared" si="2"/>
        <v>3.4246575342465752E-2</v>
      </c>
      <c r="O10" s="5">
        <f t="shared" si="3"/>
        <v>8.9041095890410954E-2</v>
      </c>
      <c r="P10" s="5">
        <f t="shared" si="4"/>
        <v>0.84589041095890416</v>
      </c>
      <c r="Q10" s="5">
        <f t="shared" si="5"/>
        <v>3.0821917808219176E-2</v>
      </c>
      <c r="R10" s="5">
        <f t="shared" si="6"/>
        <v>1.0169491525423728E-2</v>
      </c>
      <c r="S10" s="5">
        <f t="shared" si="7"/>
        <v>3.4246575342465752E-2</v>
      </c>
      <c r="T10" s="6">
        <v>7.47668</v>
      </c>
      <c r="U10" s="6">
        <v>4.8025000000000002</v>
      </c>
      <c r="V10" s="6">
        <v>2.0821999999999998</v>
      </c>
    </row>
    <row r="11" spans="1:22" x14ac:dyDescent="0.3">
      <c r="A11" s="4" t="s">
        <v>31</v>
      </c>
      <c r="B11" s="4">
        <v>773</v>
      </c>
      <c r="C11" s="4">
        <v>239</v>
      </c>
      <c r="D11" s="4">
        <v>238</v>
      </c>
      <c r="E11" s="4">
        <v>10</v>
      </c>
      <c r="F11" s="4">
        <v>68</v>
      </c>
      <c r="G11" s="4">
        <v>124</v>
      </c>
      <c r="H11" s="4">
        <v>11</v>
      </c>
      <c r="I11" s="4">
        <v>18</v>
      </c>
      <c r="J11" s="4">
        <v>7</v>
      </c>
      <c r="K11" s="4">
        <v>1</v>
      </c>
      <c r="L11" s="5">
        <f t="shared" si="0"/>
        <v>0.30918499353169471</v>
      </c>
      <c r="M11" s="5">
        <f t="shared" si="1"/>
        <v>1.2936610608020699E-2</v>
      </c>
      <c r="N11" s="5">
        <f t="shared" si="2"/>
        <v>4.2016806722689079E-2</v>
      </c>
      <c r="O11" s="5">
        <f t="shared" si="3"/>
        <v>7.5630252100840331E-2</v>
      </c>
      <c r="P11" s="5">
        <f t="shared" si="4"/>
        <v>0.8529411764705882</v>
      </c>
      <c r="Q11" s="5">
        <f t="shared" si="5"/>
        <v>2.9411764705882353E-2</v>
      </c>
      <c r="R11" s="5">
        <f t="shared" si="6"/>
        <v>4.1841004184100415E-3</v>
      </c>
      <c r="S11" s="5">
        <f t="shared" si="7"/>
        <v>4.2016806722689079E-2</v>
      </c>
      <c r="T11" s="6">
        <v>6.7099900000000003</v>
      </c>
      <c r="U11" s="6">
        <v>6.6216999999999997</v>
      </c>
      <c r="V11" s="6">
        <v>1.5102</v>
      </c>
    </row>
    <row r="12" spans="1:22" x14ac:dyDescent="0.3">
      <c r="A12" s="4" t="s">
        <v>32</v>
      </c>
      <c r="B12" s="4">
        <v>1904</v>
      </c>
      <c r="C12" s="4">
        <v>1117</v>
      </c>
      <c r="D12" s="4">
        <v>1113</v>
      </c>
      <c r="E12" s="4">
        <v>32</v>
      </c>
      <c r="F12" s="4">
        <v>266</v>
      </c>
      <c r="G12" s="4">
        <v>634</v>
      </c>
      <c r="H12" s="4">
        <v>95</v>
      </c>
      <c r="I12" s="4">
        <v>63</v>
      </c>
      <c r="J12" s="4">
        <v>23</v>
      </c>
      <c r="K12" s="4">
        <v>4</v>
      </c>
      <c r="L12" s="5">
        <f t="shared" si="0"/>
        <v>0.58665966386554624</v>
      </c>
      <c r="M12" s="5">
        <f t="shared" si="1"/>
        <v>1.680672268907563E-2</v>
      </c>
      <c r="N12" s="5">
        <f t="shared" si="2"/>
        <v>2.8751123090745734E-2</v>
      </c>
      <c r="O12" s="5">
        <f t="shared" si="3"/>
        <v>5.6603773584905662E-2</v>
      </c>
      <c r="P12" s="5">
        <f t="shared" si="4"/>
        <v>0.89398023360287515</v>
      </c>
      <c r="Q12" s="5">
        <f t="shared" si="5"/>
        <v>2.0664869721473494E-2</v>
      </c>
      <c r="R12" s="5">
        <f t="shared" si="6"/>
        <v>3.5810205908683975E-3</v>
      </c>
      <c r="S12" s="5">
        <f t="shared" si="7"/>
        <v>2.8751123090745734E-2</v>
      </c>
      <c r="T12" s="6">
        <v>9.6328093799999994</v>
      </c>
      <c r="U12" s="6">
        <v>22.706700000000001</v>
      </c>
      <c r="V12" s="6">
        <v>1.4093</v>
      </c>
    </row>
    <row r="13" spans="1:22" x14ac:dyDescent="0.3">
      <c r="A13" s="4" t="s">
        <v>33</v>
      </c>
      <c r="B13" s="4">
        <v>2053</v>
      </c>
      <c r="C13" s="4">
        <v>599</v>
      </c>
      <c r="D13" s="4">
        <v>593</v>
      </c>
      <c r="E13" s="4">
        <v>28</v>
      </c>
      <c r="F13" s="4">
        <v>140</v>
      </c>
      <c r="G13" s="4">
        <v>297</v>
      </c>
      <c r="H13" s="4">
        <v>60</v>
      </c>
      <c r="I13" s="4">
        <v>54</v>
      </c>
      <c r="J13" s="4">
        <v>14</v>
      </c>
      <c r="K13" s="4">
        <v>6</v>
      </c>
      <c r="L13" s="5">
        <f t="shared" si="0"/>
        <v>0.2917681441792499</v>
      </c>
      <c r="M13" s="5">
        <f t="shared" si="1"/>
        <v>1.3638577691183634E-2</v>
      </c>
      <c r="N13" s="5">
        <f t="shared" si="2"/>
        <v>4.7217537942664416E-2</v>
      </c>
      <c r="O13" s="5">
        <f t="shared" si="3"/>
        <v>9.1062394603709948E-2</v>
      </c>
      <c r="P13" s="5">
        <f t="shared" si="4"/>
        <v>0.83811129848229338</v>
      </c>
      <c r="Q13" s="5">
        <f t="shared" si="5"/>
        <v>2.3608768971332208E-2</v>
      </c>
      <c r="R13" s="5">
        <f t="shared" si="6"/>
        <v>1.001669449081803E-2</v>
      </c>
      <c r="S13" s="5">
        <f t="shared" si="7"/>
        <v>4.7217537942664416E-2</v>
      </c>
      <c r="T13" s="6">
        <v>41.262492860000002</v>
      </c>
      <c r="U13" s="6">
        <v>30.445799999999998</v>
      </c>
      <c r="V13" s="6">
        <v>0.91969999999999996</v>
      </c>
    </row>
    <row r="14" spans="1:22" x14ac:dyDescent="0.3">
      <c r="A14" s="4" t="s">
        <v>34</v>
      </c>
      <c r="B14" s="4">
        <v>1641</v>
      </c>
      <c r="C14" s="4">
        <v>204</v>
      </c>
      <c r="D14" s="4">
        <v>203</v>
      </c>
      <c r="E14" s="4">
        <v>11</v>
      </c>
      <c r="F14" s="4">
        <v>51</v>
      </c>
      <c r="G14" s="4">
        <v>97</v>
      </c>
      <c r="H14" s="4">
        <v>15</v>
      </c>
      <c r="I14" s="4">
        <v>23</v>
      </c>
      <c r="J14" s="4">
        <v>6</v>
      </c>
      <c r="K14" s="4">
        <v>1</v>
      </c>
      <c r="L14" s="5">
        <f t="shared" si="0"/>
        <v>0.12431444241316271</v>
      </c>
      <c r="M14" s="5">
        <f t="shared" si="1"/>
        <v>6.7032297379646553E-3</v>
      </c>
      <c r="N14" s="5">
        <f t="shared" si="2"/>
        <v>5.4187192118226604E-2</v>
      </c>
      <c r="O14" s="5">
        <f t="shared" si="3"/>
        <v>0.11330049261083744</v>
      </c>
      <c r="P14" s="5">
        <f t="shared" si="4"/>
        <v>0.80295566502463056</v>
      </c>
      <c r="Q14" s="5">
        <f t="shared" si="5"/>
        <v>2.9556650246305417E-2</v>
      </c>
      <c r="R14" s="5">
        <f t="shared" si="6"/>
        <v>4.9019607843137254E-3</v>
      </c>
      <c r="S14" s="5">
        <f t="shared" si="7"/>
        <v>5.4187192118226604E-2</v>
      </c>
      <c r="T14" s="6">
        <v>7.5424181800000003</v>
      </c>
      <c r="U14" s="6">
        <v>5.8182999999999998</v>
      </c>
      <c r="V14" s="6">
        <v>1.8906000000000001</v>
      </c>
    </row>
    <row r="15" spans="1:22" x14ac:dyDescent="0.3">
      <c r="A15" s="4" t="s">
        <v>35</v>
      </c>
      <c r="B15" s="4">
        <v>3102</v>
      </c>
      <c r="C15" s="4">
        <v>1203</v>
      </c>
      <c r="D15" s="4">
        <v>1200</v>
      </c>
      <c r="E15" s="4">
        <v>41</v>
      </c>
      <c r="F15" s="4">
        <v>288</v>
      </c>
      <c r="G15" s="4">
        <v>669</v>
      </c>
      <c r="H15" s="4">
        <v>70</v>
      </c>
      <c r="I15" s="4">
        <v>97</v>
      </c>
      <c r="J15" s="4">
        <v>35</v>
      </c>
      <c r="K15" s="4">
        <v>3</v>
      </c>
      <c r="L15" s="5">
        <f t="shared" si="0"/>
        <v>0.38781431334622823</v>
      </c>
      <c r="M15" s="5">
        <f t="shared" si="1"/>
        <v>1.3217279174725984E-2</v>
      </c>
      <c r="N15" s="5">
        <f t="shared" si="2"/>
        <v>3.4166666666666665E-2</v>
      </c>
      <c r="O15" s="5">
        <f t="shared" si="3"/>
        <v>8.0833333333333326E-2</v>
      </c>
      <c r="P15" s="5">
        <f t="shared" si="4"/>
        <v>0.85583333333333333</v>
      </c>
      <c r="Q15" s="5">
        <f t="shared" si="5"/>
        <v>2.9166666666666667E-2</v>
      </c>
      <c r="R15" s="5">
        <f t="shared" si="6"/>
        <v>2.4937655860349127E-3</v>
      </c>
      <c r="S15" s="5">
        <f t="shared" si="7"/>
        <v>3.4166666666666665E-2</v>
      </c>
      <c r="T15" s="6">
        <v>6.96544878</v>
      </c>
      <c r="U15" s="6">
        <v>21.4956</v>
      </c>
      <c r="V15" s="6">
        <v>1.9074</v>
      </c>
    </row>
    <row r="16" spans="1:22" x14ac:dyDescent="0.3">
      <c r="A16" s="4" t="s">
        <v>36</v>
      </c>
      <c r="B16" s="4">
        <v>4109</v>
      </c>
      <c r="C16" s="4">
        <v>2544</v>
      </c>
      <c r="D16" s="4">
        <v>2536</v>
      </c>
      <c r="E16" s="4">
        <v>67</v>
      </c>
      <c r="F16" s="4">
        <v>643</v>
      </c>
      <c r="G16" s="4">
        <v>1352</v>
      </c>
      <c r="H16" s="4">
        <v>182</v>
      </c>
      <c r="I16" s="4">
        <v>242</v>
      </c>
      <c r="J16" s="4">
        <v>50</v>
      </c>
      <c r="K16" s="4">
        <v>8</v>
      </c>
      <c r="L16" s="5">
        <f t="shared" si="0"/>
        <v>0.61912874178632271</v>
      </c>
      <c r="M16" s="5">
        <f t="shared" si="1"/>
        <v>1.6305670479435385E-2</v>
      </c>
      <c r="N16" s="5">
        <f t="shared" si="2"/>
        <v>2.641955835962145E-2</v>
      </c>
      <c r="O16" s="5">
        <f t="shared" si="3"/>
        <v>9.5425867507886439E-2</v>
      </c>
      <c r="P16" s="5">
        <f t="shared" si="4"/>
        <v>0.8584384858044164</v>
      </c>
      <c r="Q16" s="5">
        <f t="shared" si="5"/>
        <v>1.9716088328075709E-2</v>
      </c>
      <c r="R16" s="5">
        <f t="shared" si="6"/>
        <v>3.1446540880503146E-3</v>
      </c>
      <c r="S16" s="5">
        <f t="shared" si="7"/>
        <v>2.641955835962145E-2</v>
      </c>
      <c r="T16" s="6">
        <v>7.4119373099999999</v>
      </c>
      <c r="U16" s="6">
        <v>60.172800000000002</v>
      </c>
      <c r="V16" s="6">
        <v>1.1134999999999999</v>
      </c>
    </row>
    <row r="17" spans="1:22" x14ac:dyDescent="0.3">
      <c r="A17" s="4" t="s">
        <v>37</v>
      </c>
      <c r="B17" s="4">
        <v>793</v>
      </c>
      <c r="C17" s="4">
        <v>281</v>
      </c>
      <c r="D17" s="4">
        <v>281</v>
      </c>
      <c r="E17" s="4">
        <v>5</v>
      </c>
      <c r="F17" s="4">
        <v>65</v>
      </c>
      <c r="G17" s="4">
        <v>166</v>
      </c>
      <c r="H17" s="4">
        <v>21</v>
      </c>
      <c r="I17" s="4">
        <v>17</v>
      </c>
      <c r="J17" s="4">
        <v>7</v>
      </c>
      <c r="K17" s="4">
        <v>0</v>
      </c>
      <c r="L17" s="5">
        <f t="shared" si="0"/>
        <v>0.35435056746532156</v>
      </c>
      <c r="M17" s="5">
        <f t="shared" si="1"/>
        <v>6.3051702395964691E-3</v>
      </c>
      <c r="N17" s="5">
        <f t="shared" si="2"/>
        <v>1.7793594306049824E-2</v>
      </c>
      <c r="O17" s="5">
        <f t="shared" si="3"/>
        <v>6.0498220640569395E-2</v>
      </c>
      <c r="P17" s="5">
        <f t="shared" si="4"/>
        <v>0.89679715302491103</v>
      </c>
      <c r="Q17" s="5">
        <f t="shared" si="5"/>
        <v>2.491103202846975E-2</v>
      </c>
      <c r="R17" s="5">
        <f t="shared" si="6"/>
        <v>0</v>
      </c>
      <c r="S17" s="5">
        <f t="shared" si="7"/>
        <v>1.7793594306049824E-2</v>
      </c>
      <c r="T17" s="6">
        <v>7.8533400000000002</v>
      </c>
      <c r="U17" s="6">
        <v>4.8818999999999999</v>
      </c>
      <c r="V17" s="6">
        <v>1.0242</v>
      </c>
    </row>
    <row r="18" spans="1:22" x14ac:dyDescent="0.3">
      <c r="A18" s="4" t="s">
        <v>38</v>
      </c>
      <c r="B18" s="4">
        <v>1123</v>
      </c>
      <c r="C18" s="4">
        <v>103</v>
      </c>
      <c r="D18" s="4">
        <v>103</v>
      </c>
      <c r="E18" s="4">
        <v>3</v>
      </c>
      <c r="F18" s="4">
        <v>24</v>
      </c>
      <c r="G18" s="4">
        <v>57</v>
      </c>
      <c r="H18" s="4">
        <v>9</v>
      </c>
      <c r="I18" s="4">
        <v>9</v>
      </c>
      <c r="J18" s="4">
        <v>1</v>
      </c>
      <c r="K18" s="4">
        <v>0</v>
      </c>
      <c r="L18" s="5">
        <f t="shared" si="0"/>
        <v>9.1718610863757793E-2</v>
      </c>
      <c r="M18" s="5">
        <f t="shared" si="1"/>
        <v>2.6714158504007124E-3</v>
      </c>
      <c r="N18" s="5">
        <f t="shared" si="2"/>
        <v>2.9126213592233011E-2</v>
      </c>
      <c r="O18" s="5">
        <f t="shared" si="3"/>
        <v>8.7378640776699032E-2</v>
      </c>
      <c r="P18" s="5">
        <f t="shared" si="4"/>
        <v>0.87378640776699024</v>
      </c>
      <c r="Q18" s="5">
        <f t="shared" si="5"/>
        <v>9.7087378640776691E-3</v>
      </c>
      <c r="R18" s="5">
        <f t="shared" si="6"/>
        <v>0</v>
      </c>
      <c r="S18" s="5">
        <f t="shared" si="7"/>
        <v>2.9126213592233011E-2</v>
      </c>
      <c r="T18" s="6">
        <v>7.0888999999999998</v>
      </c>
      <c r="U18" s="6">
        <v>2.0430999999999999</v>
      </c>
      <c r="V18" s="6">
        <v>1.4683999999999999</v>
      </c>
    </row>
    <row r="19" spans="1:22" x14ac:dyDescent="0.3">
      <c r="A19" s="4" t="s">
        <v>39</v>
      </c>
      <c r="B19" s="4">
        <v>2077</v>
      </c>
      <c r="C19" s="4">
        <v>605</v>
      </c>
      <c r="D19" s="4">
        <v>605</v>
      </c>
      <c r="E19" s="4">
        <v>28</v>
      </c>
      <c r="F19" s="4">
        <v>136</v>
      </c>
      <c r="G19" s="4">
        <v>328</v>
      </c>
      <c r="H19" s="4">
        <v>41</v>
      </c>
      <c r="I19" s="4">
        <v>59</v>
      </c>
      <c r="J19" s="4">
        <v>13</v>
      </c>
      <c r="K19" s="4">
        <v>0</v>
      </c>
      <c r="L19" s="5">
        <f t="shared" si="0"/>
        <v>0.2912855079441502</v>
      </c>
      <c r="M19" s="5">
        <f t="shared" si="1"/>
        <v>1.3480982185844969E-2</v>
      </c>
      <c r="N19" s="5">
        <f t="shared" si="2"/>
        <v>4.6280991735537187E-2</v>
      </c>
      <c r="O19" s="5">
        <f t="shared" si="3"/>
        <v>9.7520661157024791E-2</v>
      </c>
      <c r="P19" s="5">
        <f t="shared" si="4"/>
        <v>0.83471074380165289</v>
      </c>
      <c r="Q19" s="5">
        <f t="shared" si="5"/>
        <v>2.1487603305785124E-2</v>
      </c>
      <c r="R19" s="5">
        <f t="shared" si="6"/>
        <v>0</v>
      </c>
      <c r="S19" s="5">
        <f t="shared" si="7"/>
        <v>4.6280991735537187E-2</v>
      </c>
      <c r="T19" s="6">
        <v>7.2029714299999998</v>
      </c>
      <c r="U19" s="6">
        <v>14.613099999999999</v>
      </c>
      <c r="V19" s="6">
        <v>1.9160999999999999</v>
      </c>
    </row>
    <row r="20" spans="1:22" x14ac:dyDescent="0.3">
      <c r="A20" s="4" t="s">
        <v>40</v>
      </c>
      <c r="B20" s="4">
        <v>1433</v>
      </c>
      <c r="C20" s="4">
        <v>651</v>
      </c>
      <c r="D20" s="4">
        <v>648</v>
      </c>
      <c r="E20" s="4">
        <v>21</v>
      </c>
      <c r="F20" s="4">
        <v>150</v>
      </c>
      <c r="G20" s="4">
        <v>346</v>
      </c>
      <c r="H20" s="4">
        <v>43</v>
      </c>
      <c r="I20" s="4">
        <v>67</v>
      </c>
      <c r="J20" s="4">
        <v>21</v>
      </c>
      <c r="K20" s="4">
        <v>3</v>
      </c>
      <c r="L20" s="5">
        <f t="shared" si="0"/>
        <v>0.45429169574319611</v>
      </c>
      <c r="M20" s="5">
        <f t="shared" si="1"/>
        <v>1.465457083042568E-2</v>
      </c>
      <c r="N20" s="5">
        <f t="shared" si="2"/>
        <v>3.2407407407407406E-2</v>
      </c>
      <c r="O20" s="5">
        <f t="shared" si="3"/>
        <v>0.10339506172839506</v>
      </c>
      <c r="P20" s="5">
        <f t="shared" si="4"/>
        <v>0.83179012345679015</v>
      </c>
      <c r="Q20" s="5">
        <f t="shared" si="5"/>
        <v>3.2407407407407406E-2</v>
      </c>
      <c r="R20" s="5">
        <f t="shared" si="6"/>
        <v>4.608294930875576E-3</v>
      </c>
      <c r="S20" s="5">
        <f t="shared" si="7"/>
        <v>3.2407407407407406E-2</v>
      </c>
      <c r="T20" s="6">
        <v>6.87778095</v>
      </c>
      <c r="U20" s="6">
        <v>46.011099999999999</v>
      </c>
      <c r="V20" s="6">
        <v>0.45639999999999997</v>
      </c>
    </row>
    <row r="21" spans="1:22" x14ac:dyDescent="0.3">
      <c r="A21" s="4" t="s">
        <v>41</v>
      </c>
      <c r="B21" s="4">
        <v>2138</v>
      </c>
      <c r="C21" s="4">
        <v>1110</v>
      </c>
      <c r="D21" s="4">
        <v>1104</v>
      </c>
      <c r="E21" s="4">
        <v>33</v>
      </c>
      <c r="F21" s="4">
        <v>270</v>
      </c>
      <c r="G21" s="4">
        <v>620</v>
      </c>
      <c r="H21" s="4">
        <v>70</v>
      </c>
      <c r="I21" s="4">
        <v>85</v>
      </c>
      <c r="J21" s="4">
        <v>26</v>
      </c>
      <c r="K21" s="4">
        <v>6</v>
      </c>
      <c r="L21" s="5">
        <f t="shared" si="0"/>
        <v>0.51917680074836292</v>
      </c>
      <c r="M21" s="5">
        <f t="shared" si="1"/>
        <v>1.5434985968194575E-2</v>
      </c>
      <c r="N21" s="5">
        <f t="shared" si="2"/>
        <v>2.9891304347826088E-2</v>
      </c>
      <c r="O21" s="5">
        <f t="shared" si="3"/>
        <v>7.6992753623188401E-2</v>
      </c>
      <c r="P21" s="5">
        <f t="shared" si="4"/>
        <v>0.86956521739130432</v>
      </c>
      <c r="Q21" s="5">
        <f t="shared" si="5"/>
        <v>2.355072463768116E-2</v>
      </c>
      <c r="R21" s="5">
        <f t="shared" si="6"/>
        <v>5.4054054054054057E-3</v>
      </c>
      <c r="S21" s="5">
        <f t="shared" si="7"/>
        <v>2.9891304347826088E-2</v>
      </c>
      <c r="T21" s="6">
        <v>7.2025212099999996</v>
      </c>
      <c r="U21" s="6">
        <v>37.618099999999998</v>
      </c>
      <c r="V21" s="6">
        <v>0.87719999999999998</v>
      </c>
    </row>
    <row r="22" spans="1:22" x14ac:dyDescent="0.3">
      <c r="A22" s="4" t="s">
        <v>42</v>
      </c>
      <c r="B22" s="4">
        <v>2357</v>
      </c>
      <c r="C22" s="4">
        <v>766</v>
      </c>
      <c r="D22" s="4">
        <v>763</v>
      </c>
      <c r="E22" s="4">
        <v>25</v>
      </c>
      <c r="F22" s="4">
        <v>188</v>
      </c>
      <c r="G22" s="4">
        <v>396</v>
      </c>
      <c r="H22" s="4">
        <v>70</v>
      </c>
      <c r="I22" s="4">
        <v>65</v>
      </c>
      <c r="J22" s="4">
        <v>19</v>
      </c>
      <c r="K22" s="4">
        <v>3</v>
      </c>
      <c r="L22" s="5">
        <f t="shared" si="0"/>
        <v>0.32498939329656346</v>
      </c>
      <c r="M22" s="5">
        <f t="shared" si="1"/>
        <v>1.0606703436571913E-2</v>
      </c>
      <c r="N22" s="5">
        <f t="shared" si="2"/>
        <v>3.2765399737876802E-2</v>
      </c>
      <c r="O22" s="5">
        <f t="shared" si="3"/>
        <v>8.5190039318479682E-2</v>
      </c>
      <c r="P22" s="5">
        <f t="shared" si="4"/>
        <v>0.8571428571428571</v>
      </c>
      <c r="Q22" s="5">
        <f t="shared" si="5"/>
        <v>2.4901703800786368E-2</v>
      </c>
      <c r="R22" s="5">
        <f t="shared" si="6"/>
        <v>3.9164490861618795E-3</v>
      </c>
      <c r="S22" s="5">
        <f t="shared" si="7"/>
        <v>3.2765399737876802E-2</v>
      </c>
      <c r="T22" s="6">
        <v>6.6173359999999999</v>
      </c>
      <c r="U22" s="6">
        <v>16.994399999999999</v>
      </c>
      <c r="V22" s="6">
        <v>1.4711000000000001</v>
      </c>
    </row>
    <row r="23" spans="1:22" x14ac:dyDescent="0.3">
      <c r="A23" s="4" t="s">
        <v>43</v>
      </c>
      <c r="B23" s="4">
        <v>2387</v>
      </c>
      <c r="C23" s="4">
        <v>1072</v>
      </c>
      <c r="D23" s="4">
        <v>1071</v>
      </c>
      <c r="E23" s="4">
        <v>38</v>
      </c>
      <c r="F23" s="4">
        <v>269</v>
      </c>
      <c r="G23" s="4">
        <v>565</v>
      </c>
      <c r="H23" s="4">
        <v>81</v>
      </c>
      <c r="I23" s="4">
        <v>90</v>
      </c>
      <c r="J23" s="4">
        <v>28</v>
      </c>
      <c r="K23" s="4">
        <v>1</v>
      </c>
      <c r="L23" s="5">
        <f t="shared" si="0"/>
        <v>0.44909928780896524</v>
      </c>
      <c r="M23" s="5">
        <f t="shared" si="1"/>
        <v>1.5919564306661083E-2</v>
      </c>
      <c r="N23" s="5">
        <f t="shared" si="2"/>
        <v>3.5480859010270774E-2</v>
      </c>
      <c r="O23" s="5">
        <f t="shared" si="3"/>
        <v>8.4033613445378158E-2</v>
      </c>
      <c r="P23" s="5">
        <f t="shared" si="4"/>
        <v>0.85434173669467783</v>
      </c>
      <c r="Q23" s="5">
        <f t="shared" si="5"/>
        <v>2.6143790849673203E-2</v>
      </c>
      <c r="R23" s="5">
        <f t="shared" si="6"/>
        <v>9.3283582089552237E-4</v>
      </c>
      <c r="S23" s="5">
        <f t="shared" si="7"/>
        <v>3.5480859010270774E-2</v>
      </c>
      <c r="T23" s="6">
        <v>7.3407842099999998</v>
      </c>
      <c r="U23" s="6">
        <v>20.728100000000001</v>
      </c>
      <c r="V23" s="6">
        <v>1.8332999999999999</v>
      </c>
    </row>
    <row r="24" spans="1:22" x14ac:dyDescent="0.3">
      <c r="A24" s="4" t="s">
        <v>44</v>
      </c>
      <c r="B24" s="4">
        <v>2663</v>
      </c>
      <c r="C24" s="4">
        <v>1688</v>
      </c>
      <c r="D24" s="4">
        <v>1682</v>
      </c>
      <c r="E24" s="4">
        <v>41</v>
      </c>
      <c r="F24" s="4">
        <v>411</v>
      </c>
      <c r="G24" s="4">
        <v>947</v>
      </c>
      <c r="H24" s="4">
        <v>123</v>
      </c>
      <c r="I24" s="4">
        <v>127</v>
      </c>
      <c r="J24" s="4">
        <v>33</v>
      </c>
      <c r="K24" s="4">
        <v>6</v>
      </c>
      <c r="L24" s="5">
        <f t="shared" si="0"/>
        <v>0.63387157341344347</v>
      </c>
      <c r="M24" s="5">
        <f t="shared" si="1"/>
        <v>1.5396169733383402E-2</v>
      </c>
      <c r="N24" s="5">
        <f t="shared" si="2"/>
        <v>2.4375743162901309E-2</v>
      </c>
      <c r="O24" s="5">
        <f t="shared" si="3"/>
        <v>7.5505350772889418E-2</v>
      </c>
      <c r="P24" s="5">
        <f t="shared" si="4"/>
        <v>0.88049940546967898</v>
      </c>
      <c r="Q24" s="5">
        <f t="shared" si="5"/>
        <v>1.9619500594530322E-2</v>
      </c>
      <c r="R24" s="5">
        <f t="shared" si="6"/>
        <v>3.5545023696682463E-3</v>
      </c>
      <c r="S24" s="5">
        <f t="shared" si="7"/>
        <v>2.4375743162901309E-2</v>
      </c>
      <c r="T24" s="6">
        <v>7.3402438999999999</v>
      </c>
      <c r="U24" s="6">
        <v>49.650599999999997</v>
      </c>
      <c r="V24" s="6">
        <v>0.82579999999999998</v>
      </c>
    </row>
    <row r="25" spans="1:22" x14ac:dyDescent="0.3">
      <c r="A25" s="4" t="s">
        <v>45</v>
      </c>
      <c r="B25" s="4">
        <v>662</v>
      </c>
      <c r="C25" s="4">
        <v>190</v>
      </c>
      <c r="D25" s="4">
        <v>190</v>
      </c>
      <c r="E25" s="4">
        <v>8</v>
      </c>
      <c r="F25" s="4">
        <v>48</v>
      </c>
      <c r="G25" s="4">
        <v>92</v>
      </c>
      <c r="H25" s="4">
        <v>11</v>
      </c>
      <c r="I25" s="4">
        <v>21</v>
      </c>
      <c r="J25" s="4">
        <v>10</v>
      </c>
      <c r="K25" s="4">
        <v>0</v>
      </c>
      <c r="L25" s="5">
        <f t="shared" si="0"/>
        <v>0.28700906344410876</v>
      </c>
      <c r="M25" s="5">
        <f t="shared" si="1"/>
        <v>1.2084592145015106E-2</v>
      </c>
      <c r="N25" s="5">
        <f t="shared" si="2"/>
        <v>4.2105263157894736E-2</v>
      </c>
      <c r="O25" s="5">
        <f t="shared" si="3"/>
        <v>0.11052631578947368</v>
      </c>
      <c r="P25" s="5">
        <f t="shared" si="4"/>
        <v>0.79473684210526319</v>
      </c>
      <c r="Q25" s="5">
        <f t="shared" si="5"/>
        <v>5.2631578947368418E-2</v>
      </c>
      <c r="R25" s="5">
        <f t="shared" si="6"/>
        <v>0</v>
      </c>
      <c r="S25" s="5">
        <f t="shared" si="7"/>
        <v>4.2105263157894736E-2</v>
      </c>
      <c r="T25" s="6">
        <v>7.2166625</v>
      </c>
      <c r="U25" s="6">
        <v>3.3864000000000001</v>
      </c>
      <c r="V25" s="6">
        <v>2.3624000000000001</v>
      </c>
    </row>
    <row r="26" spans="1:22" x14ac:dyDescent="0.3">
      <c r="A26" s="4" t="s">
        <v>46</v>
      </c>
      <c r="B26" s="4">
        <v>1101</v>
      </c>
      <c r="C26" s="4">
        <v>371</v>
      </c>
      <c r="D26" s="4">
        <v>370</v>
      </c>
      <c r="E26" s="4">
        <v>15</v>
      </c>
      <c r="F26" s="4">
        <v>90</v>
      </c>
      <c r="G26" s="4">
        <v>190</v>
      </c>
      <c r="H26" s="4">
        <v>28</v>
      </c>
      <c r="I26" s="4">
        <v>41</v>
      </c>
      <c r="J26" s="4">
        <v>6</v>
      </c>
      <c r="K26" s="4">
        <v>1</v>
      </c>
      <c r="L26" s="5">
        <f t="shared" si="0"/>
        <v>0.33696639418710261</v>
      </c>
      <c r="M26" s="5">
        <f t="shared" si="1"/>
        <v>1.3623978201634877E-2</v>
      </c>
      <c r="N26" s="5">
        <f t="shared" si="2"/>
        <v>4.0540540540540543E-2</v>
      </c>
      <c r="O26" s="5">
        <f t="shared" si="3"/>
        <v>0.11081081081081082</v>
      </c>
      <c r="P26" s="5">
        <f t="shared" si="4"/>
        <v>0.83243243243243248</v>
      </c>
      <c r="Q26" s="5">
        <f t="shared" si="5"/>
        <v>1.6216216216216217E-2</v>
      </c>
      <c r="R26" s="5">
        <f t="shared" si="6"/>
        <v>2.6954177897574125E-3</v>
      </c>
      <c r="S26" s="5">
        <f t="shared" si="7"/>
        <v>4.0540540540540543E-2</v>
      </c>
      <c r="T26" s="6">
        <v>6.92777333</v>
      </c>
      <c r="U26" s="6">
        <v>41.064700000000002</v>
      </c>
      <c r="V26" s="6">
        <v>0.36530000000000001</v>
      </c>
    </row>
    <row r="27" spans="1:22" x14ac:dyDescent="0.3">
      <c r="A27" s="4" t="s">
        <v>47</v>
      </c>
      <c r="B27" s="4">
        <v>1908</v>
      </c>
      <c r="C27" s="4">
        <v>876</v>
      </c>
      <c r="D27" s="4">
        <v>872</v>
      </c>
      <c r="E27" s="4">
        <v>26</v>
      </c>
      <c r="F27" s="4">
        <v>225</v>
      </c>
      <c r="G27" s="4">
        <v>440</v>
      </c>
      <c r="H27" s="4">
        <v>62</v>
      </c>
      <c r="I27" s="4">
        <v>96</v>
      </c>
      <c r="J27" s="4">
        <v>23</v>
      </c>
      <c r="K27" s="4">
        <v>4</v>
      </c>
      <c r="L27" s="5">
        <f t="shared" si="0"/>
        <v>0.45911949685534592</v>
      </c>
      <c r="M27" s="5">
        <f t="shared" si="1"/>
        <v>1.3626834381551363E-2</v>
      </c>
      <c r="N27" s="5">
        <f t="shared" si="2"/>
        <v>2.9816513761467892E-2</v>
      </c>
      <c r="O27" s="5">
        <f t="shared" si="3"/>
        <v>0.11009174311926606</v>
      </c>
      <c r="P27" s="5">
        <f t="shared" si="4"/>
        <v>0.83371559633027525</v>
      </c>
      <c r="Q27" s="5">
        <f t="shared" si="5"/>
        <v>2.6376146788990827E-2</v>
      </c>
      <c r="R27" s="5">
        <f t="shared" si="6"/>
        <v>4.5662100456621002E-3</v>
      </c>
      <c r="S27" s="5">
        <f t="shared" si="7"/>
        <v>2.9816513761467892E-2</v>
      </c>
      <c r="T27" s="6">
        <v>7.3865423100000003</v>
      </c>
      <c r="U27" s="6">
        <v>24.666699999999999</v>
      </c>
      <c r="V27" s="6">
        <v>1.0541</v>
      </c>
    </row>
    <row r="28" spans="1:22" x14ac:dyDescent="0.3">
      <c r="A28" s="4" t="s">
        <v>48</v>
      </c>
      <c r="B28" s="4">
        <v>14188</v>
      </c>
      <c r="C28" s="4">
        <v>1688</v>
      </c>
      <c r="D28" s="4">
        <v>1681</v>
      </c>
      <c r="E28" s="4">
        <v>55</v>
      </c>
      <c r="F28" s="4">
        <v>394</v>
      </c>
      <c r="G28" s="4">
        <v>879</v>
      </c>
      <c r="H28" s="4">
        <v>157</v>
      </c>
      <c r="I28" s="4">
        <v>140</v>
      </c>
      <c r="J28" s="4">
        <v>56</v>
      </c>
      <c r="K28" s="4">
        <v>7</v>
      </c>
      <c r="L28" s="5">
        <f t="shared" si="0"/>
        <v>0.11897378065971244</v>
      </c>
      <c r="M28" s="5">
        <f t="shared" si="1"/>
        <v>3.8765153650972654E-3</v>
      </c>
      <c r="N28" s="5">
        <f t="shared" si="2"/>
        <v>3.2718619869125519E-2</v>
      </c>
      <c r="O28" s="5">
        <f t="shared" si="3"/>
        <v>8.3283759666864965E-2</v>
      </c>
      <c r="P28" s="5">
        <f t="shared" si="4"/>
        <v>0.85068411659726351</v>
      </c>
      <c r="Q28" s="5">
        <f t="shared" si="5"/>
        <v>3.3313503866745982E-2</v>
      </c>
      <c r="R28" s="5">
        <f t="shared" si="6"/>
        <v>4.1469194312796212E-3</v>
      </c>
      <c r="S28" s="5">
        <f t="shared" si="7"/>
        <v>3.2718619869125519E-2</v>
      </c>
      <c r="T28" s="6">
        <v>7.3103018200000003</v>
      </c>
      <c r="U28" s="6">
        <v>33.885599999999997</v>
      </c>
      <c r="V28" s="6">
        <v>1.6231</v>
      </c>
    </row>
    <row r="29" spans="1:22" x14ac:dyDescent="0.3">
      <c r="A29" s="4" t="s">
        <v>49</v>
      </c>
      <c r="B29" s="4">
        <v>1764</v>
      </c>
      <c r="C29" s="4">
        <v>726</v>
      </c>
      <c r="D29" s="4">
        <v>723</v>
      </c>
      <c r="E29" s="4">
        <v>23</v>
      </c>
      <c r="F29" s="4">
        <v>183</v>
      </c>
      <c r="G29" s="4">
        <v>357</v>
      </c>
      <c r="H29" s="4">
        <v>53</v>
      </c>
      <c r="I29" s="4">
        <v>82</v>
      </c>
      <c r="J29" s="4">
        <v>25</v>
      </c>
      <c r="K29" s="4">
        <v>3</v>
      </c>
      <c r="L29" s="5">
        <f t="shared" si="0"/>
        <v>0.41156462585034015</v>
      </c>
      <c r="M29" s="5">
        <f t="shared" si="1"/>
        <v>1.3038548752834467E-2</v>
      </c>
      <c r="N29" s="5">
        <f t="shared" si="2"/>
        <v>3.18118948824343E-2</v>
      </c>
      <c r="O29" s="5">
        <f t="shared" si="3"/>
        <v>0.11341632088520055</v>
      </c>
      <c r="P29" s="5">
        <f t="shared" si="4"/>
        <v>0.82019363762102349</v>
      </c>
      <c r="Q29" s="5">
        <f t="shared" si="5"/>
        <v>3.4578146611341634E-2</v>
      </c>
      <c r="R29" s="5">
        <f t="shared" si="6"/>
        <v>4.1322314049586778E-3</v>
      </c>
      <c r="S29" s="5">
        <f t="shared" si="7"/>
        <v>3.18118948824343E-2</v>
      </c>
      <c r="T29" s="6">
        <v>8.9688391299999992</v>
      </c>
      <c r="U29" s="6">
        <v>14.6014</v>
      </c>
      <c r="V29" s="6">
        <v>1.5751999999999999</v>
      </c>
    </row>
    <row r="30" spans="1:22" x14ac:dyDescent="0.3">
      <c r="A30" s="4" t="s">
        <v>50</v>
      </c>
      <c r="B30" s="4">
        <v>3308</v>
      </c>
      <c r="C30" s="4">
        <v>942</v>
      </c>
      <c r="D30" s="4">
        <v>939</v>
      </c>
      <c r="E30" s="4">
        <v>34</v>
      </c>
      <c r="F30" s="4">
        <v>241</v>
      </c>
      <c r="G30" s="4">
        <v>482</v>
      </c>
      <c r="H30" s="4">
        <v>73</v>
      </c>
      <c r="I30" s="4">
        <v>87</v>
      </c>
      <c r="J30" s="4">
        <v>22</v>
      </c>
      <c r="K30" s="4">
        <v>3</v>
      </c>
      <c r="L30" s="5">
        <f t="shared" si="0"/>
        <v>0.28476420798065294</v>
      </c>
      <c r="M30" s="5">
        <f t="shared" si="1"/>
        <v>1.0278113663845224E-2</v>
      </c>
      <c r="N30" s="5">
        <f t="shared" si="2"/>
        <v>3.6208732694355698E-2</v>
      </c>
      <c r="O30" s="5">
        <f t="shared" si="3"/>
        <v>9.2651757188498399E-2</v>
      </c>
      <c r="P30" s="5">
        <f t="shared" si="4"/>
        <v>0.8477103301384451</v>
      </c>
      <c r="Q30" s="5">
        <f t="shared" si="5"/>
        <v>2.3429179978700747E-2</v>
      </c>
      <c r="R30" s="5">
        <f t="shared" si="6"/>
        <v>3.1847133757961785E-3</v>
      </c>
      <c r="S30" s="5">
        <f t="shared" si="7"/>
        <v>3.6208732694355698E-2</v>
      </c>
      <c r="T30" s="6">
        <v>7.4499970600000003</v>
      </c>
      <c r="U30" s="6">
        <v>19.174700000000001</v>
      </c>
      <c r="V30" s="6">
        <v>1.7732000000000001</v>
      </c>
    </row>
    <row r="31" spans="1:22" x14ac:dyDescent="0.3">
      <c r="A31" s="4" t="s">
        <v>51</v>
      </c>
      <c r="B31" s="4">
        <v>30547</v>
      </c>
      <c r="C31" s="4">
        <v>4234</v>
      </c>
      <c r="D31" s="4">
        <v>4219</v>
      </c>
      <c r="E31" s="4">
        <v>114</v>
      </c>
      <c r="F31" s="4">
        <v>950</v>
      </c>
      <c r="G31" s="4">
        <v>2310</v>
      </c>
      <c r="H31" s="4">
        <v>419</v>
      </c>
      <c r="I31" s="4">
        <v>322</v>
      </c>
      <c r="J31" s="4">
        <v>104</v>
      </c>
      <c r="K31" s="4">
        <v>15</v>
      </c>
      <c r="L31" s="5">
        <f t="shared" si="0"/>
        <v>0.13860608243035322</v>
      </c>
      <c r="M31" s="5">
        <f t="shared" si="1"/>
        <v>3.7319540380397419E-3</v>
      </c>
      <c r="N31" s="5">
        <f t="shared" si="2"/>
        <v>2.7020621000237024E-2</v>
      </c>
      <c r="O31" s="5">
        <f t="shared" si="3"/>
        <v>7.6321403176108082E-2</v>
      </c>
      <c r="P31" s="5">
        <f t="shared" si="4"/>
        <v>0.87200758473571938</v>
      </c>
      <c r="Q31" s="5">
        <f t="shared" si="5"/>
        <v>2.4650391087935531E-2</v>
      </c>
      <c r="R31" s="5">
        <f t="shared" si="6"/>
        <v>3.5427491733585263E-3</v>
      </c>
      <c r="S31" s="5">
        <f t="shared" si="7"/>
        <v>2.7020621000237024E-2</v>
      </c>
      <c r="T31" s="6">
        <v>7.96227982</v>
      </c>
      <c r="U31" s="6">
        <v>101.3219</v>
      </c>
      <c r="V31" s="6">
        <v>1.1251</v>
      </c>
    </row>
    <row r="32" spans="1:22" x14ac:dyDescent="0.3">
      <c r="A32" s="4" t="s">
        <v>52</v>
      </c>
      <c r="B32" s="4">
        <v>491</v>
      </c>
      <c r="C32" s="4">
        <v>35</v>
      </c>
      <c r="D32" s="4">
        <v>35</v>
      </c>
      <c r="E32" s="4">
        <v>1</v>
      </c>
      <c r="F32" s="4">
        <v>9</v>
      </c>
      <c r="G32" s="4">
        <v>19</v>
      </c>
      <c r="H32" s="4">
        <v>4</v>
      </c>
      <c r="I32" s="4">
        <v>2</v>
      </c>
      <c r="J32" s="4">
        <v>0</v>
      </c>
      <c r="K32" s="4">
        <v>0</v>
      </c>
      <c r="L32" s="5">
        <f t="shared" si="0"/>
        <v>7.128309572301425E-2</v>
      </c>
      <c r="M32" s="5">
        <f t="shared" si="1"/>
        <v>2.0366598778004071E-3</v>
      </c>
      <c r="N32" s="5">
        <f t="shared" si="2"/>
        <v>2.8571428571428571E-2</v>
      </c>
      <c r="O32" s="5">
        <f t="shared" si="3"/>
        <v>5.7142857142857141E-2</v>
      </c>
      <c r="P32" s="5">
        <f t="shared" si="4"/>
        <v>0.91428571428571426</v>
      </c>
      <c r="Q32" s="5">
        <f t="shared" si="5"/>
        <v>0</v>
      </c>
      <c r="R32" s="5">
        <f t="shared" si="6"/>
        <v>0</v>
      </c>
      <c r="S32" s="5">
        <f t="shared" si="7"/>
        <v>2.8571428571428571E-2</v>
      </c>
      <c r="T32" s="6">
        <v>6.3666999999999998</v>
      </c>
      <c r="U32" s="6">
        <v>0.64810000000000001</v>
      </c>
      <c r="V32" s="6">
        <v>1.5430999999999999</v>
      </c>
    </row>
    <row r="33" spans="1:22" x14ac:dyDescent="0.3">
      <c r="A33" s="4" t="s">
        <v>53</v>
      </c>
      <c r="B33" s="4">
        <v>1107</v>
      </c>
      <c r="C33" s="4">
        <v>38</v>
      </c>
      <c r="D33" s="4">
        <v>38</v>
      </c>
      <c r="E33" s="4">
        <v>2</v>
      </c>
      <c r="F33" s="4">
        <v>15</v>
      </c>
      <c r="G33" s="4">
        <v>18</v>
      </c>
      <c r="H33" s="4">
        <v>1</v>
      </c>
      <c r="I33" s="4">
        <v>2</v>
      </c>
      <c r="J33" s="4">
        <v>0</v>
      </c>
      <c r="K33" s="4">
        <v>0</v>
      </c>
      <c r="L33" s="5">
        <f t="shared" si="0"/>
        <v>3.4327009936766031E-2</v>
      </c>
      <c r="M33" s="5">
        <f t="shared" si="1"/>
        <v>1.8066847335140017E-3</v>
      </c>
      <c r="N33" s="5">
        <f t="shared" si="2"/>
        <v>5.2631578947368418E-2</v>
      </c>
      <c r="O33" s="5">
        <f t="shared" si="3"/>
        <v>5.2631578947368418E-2</v>
      </c>
      <c r="P33" s="5">
        <f t="shared" si="4"/>
        <v>0.89473684210526316</v>
      </c>
      <c r="Q33" s="5">
        <f t="shared" si="5"/>
        <v>0</v>
      </c>
      <c r="R33" s="5">
        <f t="shared" si="6"/>
        <v>0</v>
      </c>
      <c r="S33" s="5">
        <f t="shared" si="7"/>
        <v>5.2631578947368418E-2</v>
      </c>
      <c r="T33" s="6">
        <v>6.3916500000000003</v>
      </c>
      <c r="U33" s="6">
        <v>1.0207999999999999</v>
      </c>
      <c r="V33" s="6">
        <v>1.9592000000000001</v>
      </c>
    </row>
    <row r="34" spans="1:22" x14ac:dyDescent="0.3">
      <c r="A34" s="7" t="s">
        <v>54</v>
      </c>
      <c r="B34" s="8">
        <f>SUBTOTAL(109,B2:B33)</f>
        <v>163543</v>
      </c>
      <c r="C34" s="7">
        <f t="shared" ref="C34:K34" si="8">SUM(C2:C33)</f>
        <v>39252</v>
      </c>
      <c r="D34" s="7">
        <f t="shared" si="8"/>
        <v>39103</v>
      </c>
      <c r="E34" s="7">
        <f t="shared" si="8"/>
        <v>1200</v>
      </c>
      <c r="F34" s="7">
        <f t="shared" si="8"/>
        <v>9483</v>
      </c>
      <c r="G34" s="7">
        <f t="shared" si="8"/>
        <v>20677</v>
      </c>
      <c r="H34" s="7">
        <f t="shared" si="8"/>
        <v>3277</v>
      </c>
      <c r="I34" s="7">
        <f t="shared" si="8"/>
        <v>3342</v>
      </c>
      <c r="J34" s="7">
        <f t="shared" si="8"/>
        <v>1124</v>
      </c>
      <c r="K34" s="7">
        <f t="shared" si="8"/>
        <v>149</v>
      </c>
      <c r="L34" s="9"/>
      <c r="M34" s="9"/>
      <c r="N34" s="9">
        <f t="shared" si="2"/>
        <v>3.0688182492391889E-2</v>
      </c>
      <c r="O34" s="9">
        <f t="shared" si="3"/>
        <v>8.5466588241311411E-2</v>
      </c>
      <c r="P34" s="9">
        <f t="shared" si="4"/>
        <v>0.85510063166508965</v>
      </c>
      <c r="Q34" s="9">
        <f t="shared" si="5"/>
        <v>2.8744597601207067E-2</v>
      </c>
      <c r="R34" s="9">
        <f t="shared" si="6"/>
        <v>3.7959849179659633E-3</v>
      </c>
      <c r="S34" s="9">
        <f t="shared" si="7"/>
        <v>3.0688182492391889E-2</v>
      </c>
      <c r="T34" s="10"/>
      <c r="U34" s="10"/>
      <c r="V34" s="10"/>
    </row>
    <row r="39" spans="1:22" x14ac:dyDescent="0.3">
      <c r="B39">
        <v>163543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>
      <selection activeCell="A41" sqref="A41"/>
    </sheetView>
  </sheetViews>
  <sheetFormatPr baseColWidth="10" defaultColWidth="8.88671875" defaultRowHeight="14.4" x14ac:dyDescent="0.3"/>
  <cols>
    <col min="1" max="1" width="120" customWidth="1"/>
  </cols>
  <sheetData>
    <row r="1" spans="1:1" x14ac:dyDescent="0.3">
      <c r="A1" s="2" t="s">
        <v>55</v>
      </c>
    </row>
    <row r="2" spans="1:1" x14ac:dyDescent="0.3">
      <c r="A2" s="2" t="s">
        <v>56</v>
      </c>
    </row>
    <row r="3" spans="1:1" x14ac:dyDescent="0.3">
      <c r="A3" s="2" t="s">
        <v>57</v>
      </c>
    </row>
    <row r="4" spans="1:1" x14ac:dyDescent="0.3">
      <c r="A4" s="2" t="s">
        <v>56</v>
      </c>
    </row>
    <row r="5" spans="1:1" x14ac:dyDescent="0.3">
      <c r="A5" s="2" t="s">
        <v>58</v>
      </c>
    </row>
    <row r="6" spans="1:1" x14ac:dyDescent="0.3">
      <c r="A6" s="3" t="s">
        <v>71</v>
      </c>
    </row>
    <row r="7" spans="1:1" x14ac:dyDescent="0.3">
      <c r="A7" s="2" t="s">
        <v>59</v>
      </c>
    </row>
    <row r="8" spans="1:1" x14ac:dyDescent="0.3">
      <c r="A8" s="2" t="s">
        <v>60</v>
      </c>
    </row>
    <row r="9" spans="1:1" x14ac:dyDescent="0.3">
      <c r="A9" s="2" t="s">
        <v>61</v>
      </c>
    </row>
    <row r="10" spans="1:1" x14ac:dyDescent="0.3">
      <c r="A10" s="2" t="s">
        <v>56</v>
      </c>
    </row>
    <row r="11" spans="1:1" x14ac:dyDescent="0.3">
      <c r="A11" s="2" t="s">
        <v>62</v>
      </c>
    </row>
    <row r="12" spans="1:1" x14ac:dyDescent="0.3">
      <c r="A12" s="2" t="s">
        <v>63</v>
      </c>
    </row>
    <row r="13" spans="1:1" x14ac:dyDescent="0.3">
      <c r="A13" s="2" t="s">
        <v>64</v>
      </c>
    </row>
    <row r="14" spans="1:1" x14ac:dyDescent="0.3">
      <c r="A14" s="2" t="s">
        <v>65</v>
      </c>
    </row>
    <row r="15" spans="1:1" x14ac:dyDescent="0.3">
      <c r="A15" s="2" t="s">
        <v>66</v>
      </c>
    </row>
    <row r="16" spans="1:1" x14ac:dyDescent="0.3">
      <c r="A16" s="2" t="s">
        <v>67</v>
      </c>
    </row>
    <row r="17" spans="1:1" x14ac:dyDescent="0.3">
      <c r="A17" s="2" t="s">
        <v>56</v>
      </c>
    </row>
    <row r="18" spans="1:1" x14ac:dyDescent="0.3">
      <c r="A18" s="2" t="s">
        <v>68</v>
      </c>
    </row>
    <row r="19" spans="1:1" x14ac:dyDescent="0.3">
      <c r="A19" s="2" t="s">
        <v>69</v>
      </c>
    </row>
    <row r="20" spans="1:1" x14ac:dyDescent="0.3">
      <c r="A20" s="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C774FF55BE014594B24399B301FD89" ma:contentTypeVersion="16" ma:contentTypeDescription="Crear nuevo documento." ma:contentTypeScope="" ma:versionID="54050dd407de8629667b8166678bb1c0">
  <xsd:schema xmlns:xsd="http://www.w3.org/2001/XMLSchema" xmlns:xs="http://www.w3.org/2001/XMLSchema" xmlns:p="http://schemas.microsoft.com/office/2006/metadata/properties" xmlns:ns2="197f84c7-57cf-4f9f-b9e3-8b5746ba2124" xmlns:ns3="b36b71db-f8c4-4e3f-baab-3e7f7a32f8b3" targetNamespace="http://schemas.microsoft.com/office/2006/metadata/properties" ma:root="true" ma:fieldsID="454053831e941d779cf12ee5f4b1a494" ns2:_="" ns3:_="">
    <xsd:import namespace="197f84c7-57cf-4f9f-b9e3-8b5746ba2124"/>
    <xsd:import namespace="b36b71db-f8c4-4e3f-baab-3e7f7a32f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f84c7-57cf-4f9f-b9e3-8b5746ba2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c71c4c3-7414-4f40-ab04-039844b0b9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b71db-f8c4-4e3f-baab-3e7f7a32f8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e7d9ce-f534-4ec2-a3ae-54a9389aa2cf}" ma:internalName="TaxCatchAll" ma:showField="CatchAllData" ma:web="b36b71db-f8c4-4e3f-baab-3e7f7a32f8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7f84c7-57cf-4f9f-b9e3-8b5746ba2124">
      <Terms xmlns="http://schemas.microsoft.com/office/infopath/2007/PartnerControls"/>
    </lcf76f155ced4ddcb4097134ff3c332f>
    <TaxCatchAll xmlns="b36b71db-f8c4-4e3f-baab-3e7f7a32f8b3" xsi:nil="true"/>
  </documentManagement>
</p:properties>
</file>

<file path=customXml/itemProps1.xml><?xml version="1.0" encoding="utf-8"?>
<ds:datastoreItem xmlns:ds="http://schemas.openxmlformats.org/officeDocument/2006/customXml" ds:itemID="{FFABD6AB-D45A-4DCE-9A0D-EB89E39A03FD}"/>
</file>

<file path=customXml/itemProps2.xml><?xml version="1.0" encoding="utf-8"?>
<ds:datastoreItem xmlns:ds="http://schemas.openxmlformats.org/officeDocument/2006/customXml" ds:itemID="{C647B327-7590-4339-B838-0ABAD04DF56E}"/>
</file>

<file path=customXml/itemProps3.xml><?xml version="1.0" encoding="utf-8"?>
<ds:datastoreItem xmlns:ds="http://schemas.openxmlformats.org/officeDocument/2006/customXml" ds:itemID="{B31DCF9A-0895-4E91-AB11-C53CBAE37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I - Probabilidades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Sánchez</cp:lastModifiedBy>
  <dcterms:created xsi:type="dcterms:W3CDTF">2026-03-19T13:51:55Z</dcterms:created>
  <dcterms:modified xsi:type="dcterms:W3CDTF">2026-03-19T13:51:55Z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0x01010039C774FF55BE014594B24399B301FD89</vt:lpwstr>
  </property>
</Properties>
</file>